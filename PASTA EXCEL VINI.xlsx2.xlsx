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004D90B5-B1CA-4DA1-B718-638DEC4986AE}" xr6:coauthVersionLast="36" xr6:coauthVersionMax="36" xr10:uidLastSave="{00000000-0000-0000-0000-000000000000}"/>
  <bookViews>
    <workbookView xWindow="0" yWindow="0" windowWidth="28800" windowHeight="12105" activeTab="1" xr2:uid="{C52650C3-E84F-455B-82FE-53EBBECABF85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2" l="1"/>
  <c r="H8" i="2"/>
  <c r="H7" i="2"/>
  <c r="H6" i="2"/>
  <c r="H5" i="2"/>
  <c r="H3" i="2"/>
  <c r="H4" i="2"/>
  <c r="H2" i="2"/>
  <c r="G9" i="2"/>
  <c r="G8" i="2"/>
  <c r="G7" i="2"/>
  <c r="G6" i="2"/>
  <c r="G5" i="2"/>
  <c r="G4" i="2"/>
  <c r="G3" i="2"/>
  <c r="G2" i="2"/>
  <c r="F9" i="2"/>
  <c r="F8" i="2"/>
  <c r="F7" i="2"/>
  <c r="F6" i="2"/>
  <c r="F5" i="2"/>
  <c r="F4" i="2"/>
  <c r="F3" i="2"/>
  <c r="F2" i="2"/>
  <c r="G16" i="1"/>
  <c r="F16" i="1"/>
  <c r="E16" i="1"/>
  <c r="D16" i="1"/>
  <c r="C16" i="1"/>
  <c r="B16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<sst xmlns="http://schemas.openxmlformats.org/spreadsheetml/2006/main" count="34" uniqueCount="34">
  <si>
    <t>JANEIRO</t>
  </si>
  <si>
    <t>FEVEREIRO</t>
  </si>
  <si>
    <t>MARÇO</t>
  </si>
  <si>
    <t xml:space="preserve">ABRIL </t>
  </si>
  <si>
    <t>JUNHO</t>
  </si>
  <si>
    <t>CONTAS</t>
  </si>
  <si>
    <t>AGUA</t>
  </si>
  <si>
    <t>LUZ</t>
  </si>
  <si>
    <t>ESCOLA</t>
  </si>
  <si>
    <t>IPTU</t>
  </si>
  <si>
    <t>IPVA</t>
  </si>
  <si>
    <t>SHOPPING</t>
  </si>
  <si>
    <t>COMBUSTIVEL</t>
  </si>
  <si>
    <t>ACADEMIA</t>
  </si>
  <si>
    <t>MAIO</t>
  </si>
  <si>
    <t>SALARIO</t>
  </si>
  <si>
    <t xml:space="preserve">TOTAL DE CONTAS </t>
  </si>
  <si>
    <t>SALDO</t>
  </si>
  <si>
    <t>N</t>
  </si>
  <si>
    <t>NOME</t>
  </si>
  <si>
    <t>EDUARDO</t>
  </si>
  <si>
    <t>MARIA</t>
  </si>
  <si>
    <t>HELENA</t>
  </si>
  <si>
    <t>GABRIELA</t>
  </si>
  <si>
    <t>EDSON</t>
  </si>
  <si>
    <t>ELISANGELA</t>
  </si>
  <si>
    <t>REGINA</t>
  </si>
  <si>
    <t>PAULO</t>
  </si>
  <si>
    <t>SALARIO BRUTO</t>
  </si>
  <si>
    <t>GRATIFICAÇÃO</t>
  </si>
  <si>
    <t>INSS</t>
  </si>
  <si>
    <t>GRATIFICAÇÃO R$</t>
  </si>
  <si>
    <t>INSS R$</t>
  </si>
  <si>
    <t>SALARIO 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</si>
</sst>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164" fontId="0" fillId="0" borderId="0" xfId="1" applyNumberFormat="1" applyFont="1"/>
    <xf numFmtId="164" fontId="0" fillId="0" borderId="0" xfId="0" applyNumberFormat="1"/>
    <xf numFmtId="9" fontId="0" fillId="0" borderId="0" xfId="2" applyFont="1"/>
    <xf numFmtId="10" fontId="0" fillId="0" borderId="0" xfId="2" applyNumberFormat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3BBC-8583-4ACE-A50E-BCA3B9A104D8}">
  <dimension ref="A1:H16"/>
  <sheetViews>
    <sheetView workbookViewId="0">
      <selection activeCell="G17" sqref="G17"/>
    </sheetView>
  </sheetViews>
  <sheetFormatPr defaultRowHeight="15" x14ac:dyDescent="0.25"/>
  <cols>
    <col min="1" max="1" width="17.7109375" bestFit="1" customWidth="1"/>
    <col min="2" max="7" width="10.57031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14</v>
      </c>
      <c r="G1" t="s">
        <v>4</v>
      </c>
    </row>
    <row r="2" spans="1:8" x14ac:dyDescent="0.25">
      <c r="A2" t="s">
        <v>15</v>
      </c>
      <c r="B2" s="2">
        <v>500</v>
      </c>
      <c r="C2" s="2">
        <v>750</v>
      </c>
      <c r="D2" s="2">
        <v>800</v>
      </c>
      <c r="E2" s="2">
        <v>700</v>
      </c>
      <c r="F2" s="2">
        <v>654</v>
      </c>
      <c r="G2" s="2">
        <v>700</v>
      </c>
    </row>
    <row r="3" spans="1:8" x14ac:dyDescent="0.25">
      <c r="B3" s="1"/>
      <c r="C3" s="1"/>
      <c r="D3" s="1"/>
      <c r="E3" s="1"/>
      <c r="F3" s="1"/>
      <c r="G3" s="2"/>
      <c r="H3" s="2"/>
    </row>
    <row r="4" spans="1:8" x14ac:dyDescent="0.25">
      <c r="A4" t="s">
        <v>5</v>
      </c>
      <c r="B4" s="1"/>
      <c r="C4" s="1"/>
      <c r="D4" s="1"/>
      <c r="E4" s="1"/>
      <c r="F4" s="1"/>
    </row>
    <row r="5" spans="1:8" x14ac:dyDescent="0.25">
      <c r="A5" t="s">
        <v>6</v>
      </c>
      <c r="B5" s="2">
        <v>10</v>
      </c>
      <c r="C5" s="2">
        <v>15</v>
      </c>
      <c r="D5" s="2">
        <v>15</v>
      </c>
      <c r="E5" s="2">
        <v>12</v>
      </c>
      <c r="F5" s="2">
        <v>12</v>
      </c>
      <c r="G5" s="2">
        <v>11</v>
      </c>
    </row>
    <row r="6" spans="1:8" x14ac:dyDescent="0.25">
      <c r="A6" t="s">
        <v>7</v>
      </c>
      <c r="B6" s="2">
        <v>50</v>
      </c>
      <c r="C6" s="2">
        <v>60</v>
      </c>
      <c r="D6" s="2">
        <v>54</v>
      </c>
      <c r="E6" s="2">
        <v>55</v>
      </c>
      <c r="F6" s="2">
        <v>54</v>
      </c>
      <c r="G6" s="2">
        <v>56</v>
      </c>
    </row>
    <row r="7" spans="1:8" x14ac:dyDescent="0.25">
      <c r="A7" t="s">
        <v>8</v>
      </c>
      <c r="B7" s="2">
        <v>300</v>
      </c>
      <c r="C7" s="2">
        <v>250</v>
      </c>
      <c r="D7" s="2">
        <v>300</v>
      </c>
      <c r="E7" s="2">
        <v>300</v>
      </c>
      <c r="F7" s="2">
        <v>200</v>
      </c>
      <c r="G7" s="2">
        <v>200</v>
      </c>
    </row>
    <row r="8" spans="1:8" x14ac:dyDescent="0.25">
      <c r="A8" t="s">
        <v>9</v>
      </c>
      <c r="B8" s="2">
        <v>40</v>
      </c>
      <c r="C8" s="2">
        <v>40</v>
      </c>
      <c r="D8" s="2">
        <v>40</v>
      </c>
      <c r="E8" s="2">
        <v>40</v>
      </c>
      <c r="F8" s="2">
        <v>40</v>
      </c>
      <c r="G8" s="2">
        <v>40</v>
      </c>
    </row>
    <row r="9" spans="1:8" x14ac:dyDescent="0.25">
      <c r="A9" t="s">
        <v>10</v>
      </c>
      <c r="B9" s="2">
        <v>10</v>
      </c>
      <c r="C9" s="2">
        <v>15</v>
      </c>
      <c r="D9" s="2">
        <v>14</v>
      </c>
      <c r="E9" s="2">
        <v>15</v>
      </c>
      <c r="F9" s="2">
        <v>20</v>
      </c>
      <c r="G9" s="2">
        <v>31</v>
      </c>
    </row>
    <row r="10" spans="1:8" x14ac:dyDescent="0.25">
      <c r="A10" t="s">
        <v>11</v>
      </c>
      <c r="B10" s="2">
        <v>120</v>
      </c>
      <c r="C10" s="2">
        <v>150</v>
      </c>
      <c r="D10" s="2">
        <v>130</v>
      </c>
      <c r="E10" s="2">
        <v>200</v>
      </c>
      <c r="F10" s="2">
        <v>150</v>
      </c>
      <c r="G10" s="2">
        <v>190</v>
      </c>
    </row>
    <row r="11" spans="1:8" x14ac:dyDescent="0.25">
      <c r="A11" t="s">
        <v>12</v>
      </c>
      <c r="B11" s="2">
        <v>50</v>
      </c>
      <c r="C11" s="2">
        <v>60</v>
      </c>
      <c r="D11" s="2">
        <v>65</v>
      </c>
      <c r="E11" s="2">
        <v>70</v>
      </c>
      <c r="F11" s="2">
        <v>65</v>
      </c>
      <c r="G11" s="2">
        <v>85</v>
      </c>
    </row>
    <row r="12" spans="1:8" x14ac:dyDescent="0.25">
      <c r="A12" t="s">
        <v>13</v>
      </c>
      <c r="B12" s="2">
        <v>145</v>
      </c>
      <c r="C12" s="2">
        <v>145</v>
      </c>
      <c r="D12" s="2">
        <v>145</v>
      </c>
      <c r="E12" s="2">
        <v>145</v>
      </c>
      <c r="F12" s="2">
        <v>100</v>
      </c>
      <c r="G12" s="2">
        <v>145</v>
      </c>
    </row>
    <row r="14" spans="1:8" x14ac:dyDescent="0.25">
      <c r="A14" t="s">
        <v>16</v>
      </c>
      <c r="B14" s="3">
        <f>SUM(B5:B12)</f>
        <v>725</v>
      </c>
      <c r="C14" s="3">
        <f>SUM(C5:C12)</f>
        <v>735</v>
      </c>
      <c r="D14" s="3">
        <f>SUM(D5:D12)</f>
        <v>763</v>
      </c>
      <c r="E14" s="3">
        <f>SUM(E5:E12)</f>
        <v>837</v>
      </c>
      <c r="F14" s="3">
        <f>SUM(F5:F12)</f>
        <v>641</v>
      </c>
      <c r="G14" s="3">
        <f>SUM(G5:G12)</f>
        <v>758</v>
      </c>
    </row>
    <row r="16" spans="1:8" x14ac:dyDescent="0.25">
      <c r="A16" t="s">
        <v>17</v>
      </c>
      <c r="B16" s="3">
        <f>B2-B14</f>
        <v>-225</v>
      </c>
      <c r="C16" s="3">
        <f>C2-C14</f>
        <v>15</v>
      </c>
      <c r="D16" s="3">
        <f>D2-D14</f>
        <v>37</v>
      </c>
      <c r="E16" s="3">
        <f>E2-E14</f>
        <v>-137</v>
      </c>
      <c r="F16" s="3">
        <f>F2-F14</f>
        <v>13</v>
      </c>
      <c r="G16" s="3">
        <f>G2-G14</f>
        <v>-58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2B23-BDA6-4579-8ADF-46A4AE0CA4A1}">
  <dimension ref="A1:H9"/>
  <sheetViews>
    <sheetView tabSelected="1" workbookViewId="0">
      <selection activeCell="H10" sqref="H10"/>
    </sheetView>
  </sheetViews>
  <sheetFormatPr defaultRowHeight="15" x14ac:dyDescent="0.25"/>
  <cols>
    <col min="2" max="2" width="11.5703125" bestFit="1" customWidth="1"/>
    <col min="3" max="3" width="15.140625" bestFit="1" customWidth="1"/>
    <col min="5" max="5" width="14.28515625" bestFit="1" customWidth="1"/>
    <col min="6" max="6" width="9.5703125" bestFit="1" customWidth="1"/>
    <col min="7" max="7" width="16.85546875" bestFit="1" customWidth="1"/>
    <col min="8" max="8" width="16.5703125" bestFit="1" customWidth="1"/>
  </cols>
  <sheetData>
    <row r="1" spans="1:8" x14ac:dyDescent="0.25">
      <c r="A1" t="s">
        <v>18</v>
      </c>
      <c r="B1" t="s">
        <v>19</v>
      </c>
      <c r="C1" t="s">
        <v>28</v>
      </c>
      <c r="D1" t="s">
        <v>30</v>
      </c>
      <c r="E1" t="s">
        <v>29</v>
      </c>
      <c r="F1" s="2" t="s">
        <v>32</v>
      </c>
      <c r="G1" t="s">
        <v>31</v>
      </c>
      <c r="H1" t="s">
        <v>33</v>
      </c>
    </row>
    <row r="2" spans="1:8" x14ac:dyDescent="0.25">
      <c r="A2">
        <v>1</v>
      </c>
      <c r="B2" t="s">
        <v>20</v>
      </c>
      <c r="C2" s="2">
        <v>853</v>
      </c>
      <c r="D2" s="4">
        <v>0.1</v>
      </c>
      <c r="E2" s="5">
        <v>0.09</v>
      </c>
      <c r="F2" s="3">
        <f>C2*D2</f>
        <v>85.300000000000011</v>
      </c>
      <c r="G2" s="3">
        <f>C2*E2</f>
        <v>76.77</v>
      </c>
      <c r="H2" s="3">
        <f>SUM(C2,G2)-F2</f>
        <v>844.47</v>
      </c>
    </row>
    <row r="3" spans="1:8" x14ac:dyDescent="0.25">
      <c r="A3">
        <v>2</v>
      </c>
      <c r="B3" t="s">
        <v>21</v>
      </c>
      <c r="C3" s="2">
        <v>951</v>
      </c>
      <c r="D3" s="5">
        <v>9.9900000000000003E-2</v>
      </c>
      <c r="E3" s="5">
        <v>0.08</v>
      </c>
      <c r="F3" s="3">
        <f>C3*D3</f>
        <v>95.004900000000006</v>
      </c>
      <c r="G3" s="3">
        <f>C3*E3</f>
        <v>76.08</v>
      </c>
      <c r="H3" s="3">
        <f>SUM(C3,G3)-F3</f>
        <v>932.07509999999991</v>
      </c>
    </row>
    <row r="4" spans="1:8" x14ac:dyDescent="0.25">
      <c r="A4">
        <v>3</v>
      </c>
      <c r="B4" t="s">
        <v>22</v>
      </c>
      <c r="C4" s="2">
        <v>456</v>
      </c>
      <c r="D4" s="5">
        <v>8.6400000000000005E-2</v>
      </c>
      <c r="E4" s="5">
        <v>0.06</v>
      </c>
      <c r="F4" s="3">
        <f>C4*D4</f>
        <v>39.398400000000002</v>
      </c>
      <c r="G4" s="3">
        <f>C4*E4</f>
        <v>27.36</v>
      </c>
      <c r="H4" s="3">
        <f>SUM(C4,G4)-F4</f>
        <v>443.96160000000003</v>
      </c>
    </row>
    <row r="5" spans="1:8" x14ac:dyDescent="0.25">
      <c r="A5">
        <v>4</v>
      </c>
      <c r="B5" t="s">
        <v>23</v>
      </c>
      <c r="C5" s="2">
        <v>500</v>
      </c>
      <c r="D5" s="5">
        <v>8.5000000000000006E-2</v>
      </c>
      <c r="E5" s="5">
        <v>0.06</v>
      </c>
      <c r="F5" s="3">
        <f>C5*D5</f>
        <v>42.5</v>
      </c>
      <c r="G5" s="3">
        <f>C5*E5</f>
        <v>30</v>
      </c>
      <c r="H5" s="3">
        <f>SUM(C5,G50-F5)</f>
        <v>457.5</v>
      </c>
    </row>
    <row r="6" spans="1:8" x14ac:dyDescent="0.25">
      <c r="A6">
        <v>5</v>
      </c>
      <c r="B6" t="s">
        <v>24</v>
      </c>
      <c r="C6" s="2">
        <v>850</v>
      </c>
      <c r="D6" s="5">
        <v>8.9899999999999994E-2</v>
      </c>
      <c r="E6" s="5">
        <v>7.0000000000000007E-2</v>
      </c>
      <c r="F6" s="3">
        <f>C6*D6</f>
        <v>76.414999999999992</v>
      </c>
      <c r="G6" s="3">
        <f>C6*E6</f>
        <v>59.500000000000007</v>
      </c>
      <c r="H6" s="3">
        <f>SUM(C6,G6)-F6</f>
        <v>833.08500000000004</v>
      </c>
    </row>
    <row r="7" spans="1:8" x14ac:dyDescent="0.25">
      <c r="A7">
        <v>6</v>
      </c>
      <c r="B7" t="s">
        <v>25</v>
      </c>
      <c r="C7" s="2">
        <v>459</v>
      </c>
      <c r="D7" s="5">
        <v>6.25E-2</v>
      </c>
      <c r="E7" s="5">
        <v>0.05</v>
      </c>
      <c r="F7" s="3">
        <f>C7*D7</f>
        <v>28.6875</v>
      </c>
      <c r="G7" s="3">
        <f>C7*E7</f>
        <v>22.950000000000003</v>
      </c>
      <c r="H7" s="3">
        <f>SUM(C7,G7)-F6</f>
        <v>405.53499999999997</v>
      </c>
    </row>
    <row r="8" spans="1:8" x14ac:dyDescent="0.25">
      <c r="A8">
        <v>7</v>
      </c>
      <c r="B8" t="s">
        <v>26</v>
      </c>
      <c r="C8" s="2">
        <v>478</v>
      </c>
      <c r="D8" s="5">
        <v>7.1199999999999999E-2</v>
      </c>
      <c r="E8" s="5">
        <v>0.05</v>
      </c>
      <c r="F8" s="3">
        <f>C8*D8</f>
        <v>34.0336</v>
      </c>
      <c r="G8" s="3">
        <f>C8*E8</f>
        <v>23.900000000000002</v>
      </c>
      <c r="H8" s="3">
        <f>SUM(C8,G8)-F8</f>
        <v>467.8664</v>
      </c>
    </row>
    <row r="9" spans="1:8" x14ac:dyDescent="0.25">
      <c r="A9">
        <v>8</v>
      </c>
      <c r="B9" t="s">
        <v>27</v>
      </c>
      <c r="C9" s="2">
        <v>658</v>
      </c>
      <c r="D9" s="5">
        <v>5.9900000000000002E-2</v>
      </c>
      <c r="E9" s="5">
        <v>0.04</v>
      </c>
      <c r="F9" s="3">
        <f>C9*D9</f>
        <v>39.414200000000001</v>
      </c>
      <c r="G9" s="3">
        <f>C9*E9</f>
        <v>26.32</v>
      </c>
      <c r="H9" s="3">
        <f>SUM(C9,G9)-F9</f>
        <v>644.9058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2026-03-10T14:16:49Z</dcterms:created>
  <dcterms:modified xsi:type="dcterms:W3CDTF">2026-03-10T15:14:56Z</dcterms:modified>
</cp:coreProperties>
</file>